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rsha Shehan\Documents\"/>
    </mc:Choice>
  </mc:AlternateContent>
  <xr:revisionPtr revIDLastSave="0" documentId="8_{FEF9C361-2C5F-48EE-839F-E1EF99DCFC83}" xr6:coauthVersionLast="47" xr6:coauthVersionMax="47" xr10:uidLastSave="{00000000-0000-0000-0000-000000000000}"/>
  <bookViews>
    <workbookView xWindow="-108" yWindow="-108" windowWidth="23256" windowHeight="13176" xr2:uid="{76635EAD-6638-411F-A73A-601F8AAB4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" l="1"/>
  <c r="AG6" i="1"/>
  <c r="AG7" i="1"/>
  <c r="AG8" i="1"/>
  <c r="AG9" i="1"/>
  <c r="AG10" i="1"/>
  <c r="AG11" i="1"/>
  <c r="AG12" i="1"/>
  <c r="AG4" i="1"/>
  <c r="AF5" i="1"/>
  <c r="AF6" i="1"/>
  <c r="AF7" i="1"/>
  <c r="AF8" i="1"/>
  <c r="AF9" i="1"/>
  <c r="AF10" i="1"/>
  <c r="AF11" i="1"/>
  <c r="AF12" i="1"/>
  <c r="AF4" i="1"/>
  <c r="Y4" i="1"/>
  <c r="AE5" i="1"/>
  <c r="AE7" i="1"/>
  <c r="AE8" i="1"/>
  <c r="AE9" i="1"/>
  <c r="AE10" i="1"/>
  <c r="AE11" i="1"/>
  <c r="AE12" i="1"/>
  <c r="AD5" i="1"/>
  <c r="AD7" i="1"/>
  <c r="AD8" i="1"/>
  <c r="AD9" i="1"/>
  <c r="AD10" i="1"/>
  <c r="AD11" i="1"/>
  <c r="AD12" i="1"/>
  <c r="AC12" i="1"/>
  <c r="AC5" i="1"/>
  <c r="AC7" i="1"/>
  <c r="AC8" i="1"/>
  <c r="AC9" i="1"/>
  <c r="AC10" i="1"/>
  <c r="AC11" i="1"/>
  <c r="Y5" i="1"/>
  <c r="Y6" i="1"/>
  <c r="Y7" i="1"/>
  <c r="Y8" i="1"/>
  <c r="Y9" i="1"/>
  <c r="Y10" i="1"/>
  <c r="Y11" i="1"/>
  <c r="Y12" i="1"/>
  <c r="W5" i="1"/>
  <c r="W6" i="1"/>
  <c r="W7" i="1"/>
  <c r="W8" i="1"/>
  <c r="W9" i="1"/>
  <c r="W10" i="1"/>
  <c r="W11" i="1"/>
  <c r="W12" i="1"/>
  <c r="T5" i="1"/>
  <c r="T6" i="1"/>
  <c r="T7" i="1"/>
  <c r="T8" i="1"/>
  <c r="T9" i="1"/>
  <c r="T10" i="1"/>
  <c r="T11" i="1"/>
  <c r="T12" i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O10" i="1" s="1"/>
  <c r="I11" i="1"/>
  <c r="K11" i="1" s="1"/>
  <c r="O11" i="1" s="1"/>
  <c r="I12" i="1"/>
  <c r="K12" i="1" s="1"/>
  <c r="O12" i="1" s="1"/>
  <c r="W4" i="1"/>
  <c r="T4" i="1"/>
  <c r="AD4" i="1" s="1"/>
  <c r="I4" i="1"/>
  <c r="K4" i="1" s="1"/>
  <c r="AD6" i="1" l="1"/>
  <c r="N5" i="1"/>
  <c r="O5" i="1"/>
  <c r="O6" i="1"/>
  <c r="N6" i="1"/>
  <c r="O7" i="1"/>
  <c r="N7" i="1"/>
  <c r="O8" i="1"/>
  <c r="N8" i="1"/>
  <c r="O9" i="1"/>
  <c r="N9" i="1"/>
  <c r="N4" i="1"/>
  <c r="L4" i="1"/>
  <c r="N12" i="1"/>
  <c r="M12" i="1"/>
  <c r="L12" i="1"/>
  <c r="N11" i="1"/>
  <c r="M11" i="1"/>
  <c r="L11" i="1"/>
  <c r="N10" i="1"/>
  <c r="M10" i="1"/>
  <c r="L10" i="1"/>
  <c r="L9" i="1"/>
  <c r="M9" i="1"/>
  <c r="M8" i="1"/>
  <c r="L8" i="1"/>
  <c r="L7" i="1"/>
  <c r="M7" i="1"/>
  <c r="M6" i="1"/>
  <c r="L6" i="1"/>
  <c r="AC6" i="1" s="1"/>
  <c r="L5" i="1"/>
  <c r="M5" i="1"/>
  <c r="M4" i="1"/>
  <c r="O4" i="1"/>
  <c r="AE6" i="1" l="1"/>
  <c r="AC4" i="1"/>
  <c r="AE4" i="1" s="1"/>
</calcChain>
</file>

<file path=xl/sharedStrings.xml><?xml version="1.0" encoding="utf-8"?>
<sst xmlns="http://schemas.openxmlformats.org/spreadsheetml/2006/main" count="52" uniqueCount="46">
  <si>
    <t>Basic Salary</t>
  </si>
  <si>
    <t>Target</t>
  </si>
  <si>
    <t>Code_No</t>
  </si>
  <si>
    <t>Bank_acc</t>
  </si>
  <si>
    <t>bank_name</t>
  </si>
  <si>
    <t>Name</t>
  </si>
  <si>
    <t>Join_date</t>
  </si>
  <si>
    <t>Month</t>
  </si>
  <si>
    <t>Achive</t>
  </si>
  <si>
    <t>Achive_Percentage</t>
  </si>
  <si>
    <t>Achived_Salary</t>
  </si>
  <si>
    <t>Earnings</t>
  </si>
  <si>
    <t>Vehical</t>
  </si>
  <si>
    <t>Fual</t>
  </si>
  <si>
    <t>Other</t>
  </si>
  <si>
    <t>Custom</t>
  </si>
  <si>
    <t>ORC</t>
  </si>
  <si>
    <t>Deductions</t>
  </si>
  <si>
    <t>No Pay</t>
  </si>
  <si>
    <t>Late</t>
  </si>
  <si>
    <t>Hours</t>
  </si>
  <si>
    <t>Minutes</t>
  </si>
  <si>
    <t>Welfare</t>
  </si>
  <si>
    <t>Availability</t>
  </si>
  <si>
    <t>EPF</t>
  </si>
  <si>
    <t>Total Deduction</t>
  </si>
  <si>
    <t>Net Salary</t>
  </si>
  <si>
    <t>Target_Value</t>
  </si>
  <si>
    <t>ETF(3%)</t>
  </si>
  <si>
    <t>EPF(12%)</t>
  </si>
  <si>
    <t>vehical</t>
  </si>
  <si>
    <t>Days</t>
  </si>
  <si>
    <t>Late Comes</t>
  </si>
  <si>
    <t>Gross Salary</t>
  </si>
  <si>
    <t>xxxx xxxx xxxx</t>
  </si>
  <si>
    <t>HNB</t>
  </si>
  <si>
    <t>Heshan Kavinda</t>
  </si>
  <si>
    <t>name</t>
  </si>
  <si>
    <t>price</t>
  </si>
  <si>
    <t>new year</t>
  </si>
  <si>
    <t>Price</t>
  </si>
  <si>
    <t>Loan</t>
  </si>
  <si>
    <t>wwwwwwwww</t>
  </si>
  <si>
    <t>Nimasha</t>
  </si>
  <si>
    <t>offer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</si>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</sst>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LKR]\ #,##0.00"/>
    <numFmt numFmtId="167" formatCode="yyyy\-mm\-dd;@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A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/>
    <xf numFmtId="0" fontId="1" fillId="4" borderId="0" xfId="0" applyFont="1" applyFill="1" applyAlignment="1">
      <alignment horizontal="center"/>
    </xf>
    <xf numFmtId="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164" fontId="0" fillId="0" borderId="0" xfId="0" applyNumberFormat="1"/>
    <xf numFmtId="0" fontId="0" fillId="9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10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0" fontId="0" fillId="9" borderId="0" xfId="0" applyFill="1" applyAlignment="1"/>
    <xf numFmtId="164" fontId="0" fillId="0" borderId="0" xfId="0" applyNumberFormat="1" applyAlignment="1"/>
    <xf numFmtId="164" fontId="0" fillId="9" borderId="0" xfId="0" applyNumberFormat="1" applyFill="1" applyAlignment="1"/>
    <xf numFmtId="0" fontId="0" fillId="0" borderId="0" xfId="0" applyNumberFormat="1"/>
    <xf numFmtId="0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A4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EA70-4CEC-40B8-A492-A4017774CAB8}">
  <dimension ref="A1:AG12"/>
  <sheetViews>
    <sheetView tabSelected="1" workbookViewId="0">
      <pane xSplit="1" topLeftCell="B1" activePane="topRight" state="frozen"/>
      <selection pane="topRight" activeCell="AH6" sqref="AH6"/>
    </sheetView>
  </sheetViews>
  <sheetFormatPr defaultRowHeight="14.4" x14ac:dyDescent="0.3"/>
  <cols>
    <col min="1" max="1" width="17.33203125" customWidth="1"/>
    <col min="2" max="2" width="2.109375" style="1" customWidth="1"/>
    <col min="3" max="3" width="17.6640625" customWidth="1"/>
    <col min="4" max="4" width="16.21875" customWidth="1"/>
    <col min="5" max="5" width="10.33203125" customWidth="1"/>
    <col min="6" max="6" width="14.44140625" customWidth="1"/>
    <col min="7" max="7" width="10.33203125" style="18" bestFit="1" customWidth="1"/>
    <col min="9" max="9" width="12.21875" customWidth="1"/>
    <col min="11" max="11" width="16.21875" style="7" customWidth="1"/>
    <col min="12" max="12" width="13.5546875" customWidth="1"/>
    <col min="13" max="13" width="12.44140625" style="12" bestFit="1" customWidth="1"/>
    <col min="14" max="14" width="15.88671875" style="12" customWidth="1"/>
    <col min="15" max="15" width="15" style="12" customWidth="1"/>
    <col min="18" max="18" width="11.44140625" style="12" bestFit="1" customWidth="1"/>
    <col min="19" max="19" width="9.6640625" customWidth="1"/>
    <col min="20" max="20" width="12.44140625" style="12" bestFit="1" customWidth="1"/>
    <col min="22" max="22" width="8.88671875" style="22"/>
    <col min="23" max="23" width="13" customWidth="1"/>
    <col min="24" max="24" width="10.88671875" style="22" customWidth="1"/>
    <col min="25" max="25" width="12.44140625" style="12" bestFit="1" customWidth="1"/>
    <col min="28" max="28" width="11.44140625" style="12" bestFit="1" customWidth="1"/>
    <col min="29" max="29" width="18.5546875" customWidth="1"/>
    <col min="30" max="30" width="19.88671875" customWidth="1"/>
    <col min="31" max="31" width="20" customWidth="1"/>
    <col min="32" max="32" width="12.44140625" bestFit="1" customWidth="1"/>
    <col min="33" max="33" width="11.44140625" bestFit="1" customWidth="1"/>
  </cols>
  <sheetData>
    <row r="1" spans="1:33" x14ac:dyDescent="0.3">
      <c r="A1" t="s">
        <v>0</v>
      </c>
      <c r="C1" s="13" t="s">
        <v>2</v>
      </c>
      <c r="D1" s="3" t="s">
        <v>3</v>
      </c>
      <c r="E1" s="3" t="s">
        <v>4</v>
      </c>
      <c r="F1" s="3" t="s">
        <v>5</v>
      </c>
      <c r="G1" s="17" t="s">
        <v>6</v>
      </c>
      <c r="H1" s="13" t="s">
        <v>7</v>
      </c>
      <c r="I1" s="3" t="s">
        <v>27</v>
      </c>
      <c r="J1" s="13" t="s">
        <v>8</v>
      </c>
      <c r="K1" s="14" t="s">
        <v>9</v>
      </c>
      <c r="L1" s="9" t="s">
        <v>11</v>
      </c>
      <c r="M1" s="9"/>
      <c r="N1" s="9"/>
      <c r="O1" s="9"/>
      <c r="P1" s="9"/>
      <c r="Q1" s="9"/>
      <c r="R1" s="9"/>
      <c r="S1" s="6" t="s">
        <v>17</v>
      </c>
      <c r="T1" s="6"/>
      <c r="U1" s="6"/>
      <c r="V1" s="6"/>
      <c r="W1" s="6"/>
      <c r="X1" s="6"/>
      <c r="Y1" s="6"/>
      <c r="Z1" s="6"/>
      <c r="AA1" s="6"/>
      <c r="AB1" s="6"/>
      <c r="AC1" s="16" t="s">
        <v>33</v>
      </c>
      <c r="AD1" s="10" t="s">
        <v>25</v>
      </c>
      <c r="AE1" s="11" t="s">
        <v>26</v>
      </c>
      <c r="AF1" s="4" t="s">
        <v>29</v>
      </c>
      <c r="AG1" s="4" t="s">
        <v>28</v>
      </c>
    </row>
    <row r="2" spans="1:33" x14ac:dyDescent="0.3">
      <c r="A2" s="12">
        <v>250000</v>
      </c>
      <c r="C2" s="13"/>
      <c r="D2" s="3"/>
      <c r="E2" s="3"/>
      <c r="F2" s="3"/>
      <c r="G2" s="17"/>
      <c r="H2" s="13"/>
      <c r="I2" s="3"/>
      <c r="J2" s="13"/>
      <c r="K2" s="14"/>
      <c r="L2" s="3" t="s">
        <v>10</v>
      </c>
      <c r="M2" s="15" t="s">
        <v>12</v>
      </c>
      <c r="N2" s="15" t="s">
        <v>13</v>
      </c>
      <c r="O2" s="15" t="s">
        <v>16</v>
      </c>
      <c r="P2" s="3" t="s">
        <v>14</v>
      </c>
      <c r="Q2" s="3" t="s">
        <v>15</v>
      </c>
      <c r="R2" s="3"/>
      <c r="S2" s="8" t="s">
        <v>18</v>
      </c>
      <c r="T2" s="8"/>
      <c r="U2" s="8" t="s">
        <v>19</v>
      </c>
      <c r="V2" s="8"/>
      <c r="W2" s="8"/>
      <c r="X2" s="4" t="s">
        <v>24</v>
      </c>
      <c r="Y2" s="4"/>
      <c r="Z2" s="3" t="s">
        <v>22</v>
      </c>
      <c r="AA2" s="13" t="s">
        <v>15</v>
      </c>
      <c r="AB2" s="13"/>
      <c r="AC2" s="16"/>
      <c r="AD2" s="10"/>
      <c r="AE2" s="11"/>
      <c r="AF2" s="4"/>
      <c r="AG2" s="4"/>
    </row>
    <row r="3" spans="1:33" x14ac:dyDescent="0.3">
      <c r="A3" t="s">
        <v>1</v>
      </c>
      <c r="C3" s="13"/>
      <c r="D3" s="3"/>
      <c r="E3" s="3"/>
      <c r="F3" s="3"/>
      <c r="G3" s="17"/>
      <c r="H3" s="13"/>
      <c r="I3" s="3"/>
      <c r="J3" s="13"/>
      <c r="K3" s="14"/>
      <c r="L3" s="3"/>
      <c r="M3" s="15"/>
      <c r="N3" s="15"/>
      <c r="O3" s="15"/>
      <c r="P3" s="3"/>
      <c r="Q3" s="2" t="s">
        <v>37</v>
      </c>
      <c r="R3" s="20" t="s">
        <v>38</v>
      </c>
      <c r="S3" s="5" t="s">
        <v>31</v>
      </c>
      <c r="T3" s="20" t="s">
        <v>18</v>
      </c>
      <c r="U3" t="s">
        <v>20</v>
      </c>
      <c r="V3" s="22" t="s">
        <v>21</v>
      </c>
      <c r="W3" t="s">
        <v>32</v>
      </c>
      <c r="X3" s="23" t="s">
        <v>23</v>
      </c>
      <c r="Y3" s="7">
        <v>0.08</v>
      </c>
      <c r="Z3" s="3"/>
      <c r="AA3" s="19" t="s">
        <v>37</v>
      </c>
      <c r="AB3" s="21" t="s">
        <v>40</v>
      </c>
      <c r="AC3" s="16"/>
      <c r="AD3" s="10"/>
      <c r="AE3" s="11"/>
      <c r="AF3" s="4"/>
      <c r="AG3" s="4"/>
    </row>
    <row r="4" spans="1:33" x14ac:dyDescent="0.3">
      <c r="A4" s="12">
        <v>250000</v>
      </c>
      <c r="H4">
        <v>6</v>
      </c>
      <c r="I4">
        <f>IF(H4&gt;5,A$4,IF(H4&gt;4,A$4*75%,IF(H4&gt;3,A$4*65%,IF(H4&gt;2,A$4*45%,IF(H4&gt;1,A$4*35%,A$4*25%)))))</f>
        <v>250000</v>
      </c>
      <c r="J4">
        <v>251000</v>
      </c>
      <c r="K4" s="7">
        <f>ROUNDDOWN(J4/I4,2)</f>
        <v>1</v>
      </c>
      <c r="L4">
        <f>IF(K4&gt;=100%,A$2,IF(K4&gt;=50%,A$2,A$2*K4*2))</f>
        <v>250000</v>
      </c>
      <c r="M4" s="12">
        <f>IF(K4&gt;81%,A$10,IF(K4&gt;66%,A$10*75%,IF(K4&gt;51%,A$10,0)))</f>
        <v>50000</v>
      </c>
      <c r="N4" s="12">
        <f>IF(K4&gt;81%,A$8,IF(K4&gt;66%,A$8*75%,IF(K4&gt;51%,A$8,0)))</f>
        <v>30000</v>
      </c>
      <c r="O4" s="12">
        <f>IF(K4&gt;=100%,( J4-I4)*A$6%,0)</f>
        <v>5</v>
      </c>
      <c r="R4" s="12">
        <v>3000</v>
      </c>
      <c r="S4">
        <v>1</v>
      </c>
      <c r="T4" s="12">
        <f>IF(S4&gt;0,A$2/25 *(S4-0.5),0)</f>
        <v>5000</v>
      </c>
      <c r="U4">
        <v>1</v>
      </c>
      <c r="V4" s="22">
        <v>30</v>
      </c>
      <c r="W4" s="12">
        <f>((U4*60)+V4)*A$2/(25*8*60)</f>
        <v>1875</v>
      </c>
      <c r="X4" s="22">
        <v>1</v>
      </c>
      <c r="Y4" s="12">
        <f>IF(X4=1,A$2*8%,0)</f>
        <v>20000</v>
      </c>
      <c r="AA4" t="s">
        <v>41</v>
      </c>
      <c r="AB4" s="12">
        <v>3000</v>
      </c>
      <c r="AC4" s="12">
        <f>SUM(L4,M4,N4,O4,P4,R4)</f>
        <v>333005</v>
      </c>
      <c r="AD4" s="12">
        <f>SUM(T4,W4,Y4,Z4,AB4)</f>
        <v>29875</v>
      </c>
      <c r="AE4" s="12">
        <f>AC4-AD4</f>
        <v>303130</v>
      </c>
      <c r="AF4" s="12">
        <f>IF(X4=1,A$2*12%,0)</f>
        <v>30000</v>
      </c>
      <c r="AG4" s="12">
        <f>IF(X4=1,A$2*3%,0)</f>
        <v>7500</v>
      </c>
    </row>
    <row r="5" spans="1:33" x14ac:dyDescent="0.3">
      <c r="A5" t="s">
        <v>16</v>
      </c>
      <c r="C5">
        <v>1</v>
      </c>
      <c r="D5" t="s">
        <v>34</v>
      </c>
      <c r="E5" t="s">
        <v>35</v>
      </c>
      <c r="F5" t="s">
        <v>36</v>
      </c>
      <c r="G5" s="18">
        <v>46025</v>
      </c>
      <c r="H5">
        <v>5</v>
      </c>
      <c r="I5">
        <f t="shared" ref="I5:I12" si="0">IF(H5&gt;5,A$4,IF(H5&gt;4,A$4*75%,IF(H5&gt;3,A$4*65%,IF(H5&gt;2,A$4*45%,IF(H5&gt;1,A$4*35%,A$4*25%)))))</f>
        <v>187500</v>
      </c>
      <c r="J5">
        <v>150000</v>
      </c>
      <c r="K5" s="7">
        <f t="shared" ref="K5:K12" si="1">ROUNDDOWN(J5/I5,2)</f>
        <v>0.8</v>
      </c>
      <c r="L5">
        <f t="shared" ref="L5:L12" si="2">IF(K5&gt;=100%,A$2,IF(K5&gt;=50%,A$2,A$2*K5*2))</f>
        <v>250000</v>
      </c>
      <c r="M5" s="12">
        <f t="shared" ref="M5:M12" si="3">IF(K5&gt;81%,A$10,IF(K5&gt;66%,A$10*75%,IF(K5&gt;51%,A$10,0)))</f>
        <v>37500</v>
      </c>
      <c r="N5" s="12">
        <f t="shared" ref="N5:N12" si="4">IF(K5&gt;81%,A$8,IF(K5&gt;66%,A$8*75%,IF(K5&gt;51%,A$8,0)))</f>
        <v>22500</v>
      </c>
      <c r="O5" s="12">
        <f t="shared" ref="O5:O12" si="5">IF(K5&gt;=100%,( J5-I5)*A$6%,0)</f>
        <v>0</v>
      </c>
      <c r="P5">
        <v>2000</v>
      </c>
      <c r="Q5" t="s">
        <v>39</v>
      </c>
      <c r="R5" s="12">
        <v>3000</v>
      </c>
      <c r="S5">
        <v>2</v>
      </c>
      <c r="T5" s="12">
        <f t="shared" ref="T5:T12" si="6">IF(S5&gt;0,A$2/25 *(S5-0.5),0)</f>
        <v>15000</v>
      </c>
      <c r="W5" s="12">
        <f t="shared" ref="W5:W12" si="7">((U5*60)+V5)*A$2/(25*8*60)</f>
        <v>0</v>
      </c>
      <c r="Y5" s="12">
        <f t="shared" ref="Y5:Y12" si="8">IF(X5=1,A$2*8%,0)</f>
        <v>0</v>
      </c>
      <c r="AC5" s="12">
        <f t="shared" ref="AC5:AC11" si="9">SUM(L5,M5,N5,O5,P5,R5)</f>
        <v>315000</v>
      </c>
      <c r="AD5" s="12">
        <f t="shared" ref="AD5:AD12" si="10">SUM(T5,W5,Y5,Z5,AB5)</f>
        <v>15000</v>
      </c>
      <c r="AE5" s="12">
        <f t="shared" ref="AE5:AE12" si="11">AC5-AD5</f>
        <v>300000</v>
      </c>
      <c r="AF5" s="12">
        <f t="shared" ref="AF5:AF12" si="12">IF(X5=1,A$2*12%,0)</f>
        <v>0</v>
      </c>
      <c r="AG5" s="12">
        <f t="shared" ref="AG5:AG12" si="13">IF(X5=1,A$2*3%,0)</f>
        <v>0</v>
      </c>
    </row>
    <row r="6" spans="1:33" x14ac:dyDescent="0.3">
      <c r="A6">
        <v>0.5</v>
      </c>
      <c r="C6">
        <v>2</v>
      </c>
      <c r="D6" t="s">
        <v>42</v>
      </c>
      <c r="E6" t="s">
        <v>35</v>
      </c>
      <c r="F6" t="s">
        <v>43</v>
      </c>
      <c r="G6" s="18">
        <v>46026</v>
      </c>
      <c r="H6">
        <v>3</v>
      </c>
      <c r="I6">
        <f t="shared" si="0"/>
        <v>112500</v>
      </c>
      <c r="J6">
        <v>80000</v>
      </c>
      <c r="K6" s="7">
        <f t="shared" si="1"/>
        <v>0.71</v>
      </c>
      <c r="L6">
        <f t="shared" si="2"/>
        <v>250000</v>
      </c>
      <c r="M6" s="12">
        <f t="shared" si="3"/>
        <v>37500</v>
      </c>
      <c r="N6" s="12">
        <f t="shared" si="4"/>
        <v>22500</v>
      </c>
      <c r="O6" s="12">
        <f t="shared" si="5"/>
        <v>0</v>
      </c>
      <c r="Q6" t="s">
        <v>44</v>
      </c>
      <c r="R6" s="12">
        <v>1000</v>
      </c>
      <c r="S6">
        <v>3</v>
      </c>
      <c r="T6" s="12">
        <f t="shared" si="6"/>
        <v>25000</v>
      </c>
      <c r="U6">
        <v>3</v>
      </c>
      <c r="V6" s="22">
        <v>45</v>
      </c>
      <c r="W6" s="12">
        <f t="shared" si="7"/>
        <v>4687.5</v>
      </c>
      <c r="X6" s="22">
        <v>1</v>
      </c>
      <c r="Y6" s="12">
        <f t="shared" si="8"/>
        <v>20000</v>
      </c>
      <c r="AA6" t="s">
        <v>45</v>
      </c>
      <c r="AB6" s="12">
        <v>4000</v>
      </c>
      <c r="AC6" s="12">
        <f t="shared" si="9"/>
        <v>311000</v>
      </c>
      <c r="AD6" s="12">
        <f t="shared" si="10"/>
        <v>53687.5</v>
      </c>
      <c r="AE6" s="12">
        <f t="shared" si="11"/>
        <v>257312.5</v>
      </c>
      <c r="AF6" s="12">
        <f t="shared" si="12"/>
        <v>30000</v>
      </c>
      <c r="AG6" s="12">
        <f t="shared" si="13"/>
        <v>7500</v>
      </c>
    </row>
    <row r="7" spans="1:33" x14ac:dyDescent="0.3">
      <c r="A7" t="s">
        <v>13</v>
      </c>
      <c r="H7">
        <v>3</v>
      </c>
      <c r="I7">
        <f t="shared" si="0"/>
        <v>112500</v>
      </c>
      <c r="J7">
        <v>45000</v>
      </c>
      <c r="K7" s="7">
        <f t="shared" si="1"/>
        <v>0.4</v>
      </c>
      <c r="L7">
        <f t="shared" si="2"/>
        <v>200000</v>
      </c>
      <c r="M7" s="12">
        <f t="shared" si="3"/>
        <v>0</v>
      </c>
      <c r="N7" s="12">
        <f t="shared" si="4"/>
        <v>0</v>
      </c>
      <c r="O7" s="12">
        <f t="shared" si="5"/>
        <v>0</v>
      </c>
      <c r="T7" s="12">
        <f t="shared" si="6"/>
        <v>0</v>
      </c>
      <c r="W7" s="12">
        <f t="shared" si="7"/>
        <v>0</v>
      </c>
      <c r="Y7" s="12">
        <f t="shared" si="8"/>
        <v>0</v>
      </c>
      <c r="AC7" s="12">
        <f t="shared" si="9"/>
        <v>200000</v>
      </c>
      <c r="AD7" s="12">
        <f t="shared" si="10"/>
        <v>0</v>
      </c>
      <c r="AE7" s="12">
        <f t="shared" si="11"/>
        <v>200000</v>
      </c>
      <c r="AF7" s="12">
        <f t="shared" si="12"/>
        <v>0</v>
      </c>
      <c r="AG7" s="12">
        <f t="shared" si="13"/>
        <v>0</v>
      </c>
    </row>
    <row r="8" spans="1:33" x14ac:dyDescent="0.3">
      <c r="A8">
        <v>30000</v>
      </c>
      <c r="H8">
        <v>2</v>
      </c>
      <c r="I8">
        <f t="shared" si="0"/>
        <v>87500</v>
      </c>
      <c r="J8">
        <v>21000</v>
      </c>
      <c r="K8" s="7">
        <f t="shared" si="1"/>
        <v>0.24</v>
      </c>
      <c r="L8">
        <f t="shared" si="2"/>
        <v>120000</v>
      </c>
      <c r="M8" s="12">
        <f t="shared" si="3"/>
        <v>0</v>
      </c>
      <c r="N8" s="12">
        <f t="shared" si="4"/>
        <v>0</v>
      </c>
      <c r="O8" s="12">
        <f t="shared" si="5"/>
        <v>0</v>
      </c>
      <c r="T8" s="12">
        <f t="shared" si="6"/>
        <v>0</v>
      </c>
      <c r="W8" s="12">
        <f t="shared" si="7"/>
        <v>0</v>
      </c>
      <c r="Y8" s="12">
        <f t="shared" si="8"/>
        <v>0</v>
      </c>
      <c r="AC8" s="12">
        <f t="shared" si="9"/>
        <v>120000</v>
      </c>
      <c r="AD8" s="12">
        <f t="shared" si="10"/>
        <v>0</v>
      </c>
      <c r="AE8" s="12">
        <f t="shared" si="11"/>
        <v>120000</v>
      </c>
      <c r="AF8" s="12">
        <f t="shared" si="12"/>
        <v>0</v>
      </c>
      <c r="AG8" s="12">
        <f t="shared" si="13"/>
        <v>0</v>
      </c>
    </row>
    <row r="9" spans="1:33" x14ac:dyDescent="0.3">
      <c r="A9" t="s">
        <v>30</v>
      </c>
      <c r="H9">
        <v>1</v>
      </c>
      <c r="I9">
        <f t="shared" si="0"/>
        <v>62500</v>
      </c>
      <c r="J9">
        <v>1000</v>
      </c>
      <c r="K9" s="7">
        <f t="shared" si="1"/>
        <v>0.01</v>
      </c>
      <c r="L9">
        <f t="shared" si="2"/>
        <v>5000</v>
      </c>
      <c r="M9" s="12">
        <f t="shared" si="3"/>
        <v>0</v>
      </c>
      <c r="N9" s="12">
        <f t="shared" si="4"/>
        <v>0</v>
      </c>
      <c r="O9" s="12">
        <f t="shared" si="5"/>
        <v>0</v>
      </c>
      <c r="T9" s="12">
        <f t="shared" si="6"/>
        <v>0</v>
      </c>
      <c r="W9" s="12">
        <f t="shared" si="7"/>
        <v>0</v>
      </c>
      <c r="Y9" s="12">
        <f t="shared" si="8"/>
        <v>0</v>
      </c>
      <c r="AC9" s="12">
        <f t="shared" si="9"/>
        <v>5000</v>
      </c>
      <c r="AD9" s="12">
        <f t="shared" si="10"/>
        <v>0</v>
      </c>
      <c r="AE9" s="12">
        <f t="shared" si="11"/>
        <v>5000</v>
      </c>
      <c r="AF9" s="12">
        <f t="shared" si="12"/>
        <v>0</v>
      </c>
      <c r="AG9" s="12">
        <f t="shared" si="13"/>
        <v>0</v>
      </c>
    </row>
    <row r="10" spans="1:33" x14ac:dyDescent="0.3">
      <c r="A10">
        <v>50000</v>
      </c>
      <c r="H10">
        <v>6</v>
      </c>
      <c r="I10">
        <f t="shared" si="0"/>
        <v>250000</v>
      </c>
      <c r="J10">
        <v>1000</v>
      </c>
      <c r="K10" s="7">
        <f t="shared" si="1"/>
        <v>0</v>
      </c>
      <c r="L10">
        <f t="shared" si="2"/>
        <v>0</v>
      </c>
      <c r="M10" s="12">
        <f t="shared" si="3"/>
        <v>0</v>
      </c>
      <c r="N10" s="12">
        <f t="shared" si="4"/>
        <v>0</v>
      </c>
      <c r="O10" s="12">
        <f t="shared" si="5"/>
        <v>0</v>
      </c>
      <c r="T10" s="12">
        <f t="shared" si="6"/>
        <v>0</v>
      </c>
      <c r="W10" s="12">
        <f t="shared" si="7"/>
        <v>0</v>
      </c>
      <c r="Y10" s="12">
        <f t="shared" si="8"/>
        <v>0</v>
      </c>
      <c r="AC10" s="12">
        <f t="shared" si="9"/>
        <v>0</v>
      </c>
      <c r="AD10" s="12">
        <f t="shared" si="10"/>
        <v>0</v>
      </c>
      <c r="AE10" s="12">
        <f t="shared" si="11"/>
        <v>0</v>
      </c>
      <c r="AF10" s="12">
        <f t="shared" si="12"/>
        <v>0</v>
      </c>
      <c r="AG10" s="12">
        <f t="shared" si="13"/>
        <v>0</v>
      </c>
    </row>
    <row r="11" spans="1:33" x14ac:dyDescent="0.3">
      <c r="H11">
        <v>6</v>
      </c>
      <c r="I11">
        <f t="shared" si="0"/>
        <v>250000</v>
      </c>
      <c r="J11">
        <v>160000</v>
      </c>
      <c r="K11" s="7">
        <f t="shared" si="1"/>
        <v>0.64</v>
      </c>
      <c r="L11">
        <f t="shared" si="2"/>
        <v>250000</v>
      </c>
      <c r="M11" s="12">
        <f t="shared" si="3"/>
        <v>50000</v>
      </c>
      <c r="N11" s="12">
        <f t="shared" si="4"/>
        <v>30000</v>
      </c>
      <c r="O11" s="12">
        <f t="shared" si="5"/>
        <v>0</v>
      </c>
      <c r="T11" s="12">
        <f t="shared" si="6"/>
        <v>0</v>
      </c>
      <c r="W11" s="12">
        <f t="shared" si="7"/>
        <v>0</v>
      </c>
      <c r="Y11" s="12">
        <f t="shared" si="8"/>
        <v>0</v>
      </c>
      <c r="AC11" s="12">
        <f t="shared" si="9"/>
        <v>330000</v>
      </c>
      <c r="AD11" s="12">
        <f t="shared" si="10"/>
        <v>0</v>
      </c>
      <c r="AE11" s="12">
        <f t="shared" si="11"/>
        <v>330000</v>
      </c>
      <c r="AF11" s="12">
        <f t="shared" si="12"/>
        <v>0</v>
      </c>
      <c r="AG11" s="12">
        <f t="shared" si="13"/>
        <v>0</v>
      </c>
    </row>
    <row r="12" spans="1:33" x14ac:dyDescent="0.3">
      <c r="H12">
        <v>6</v>
      </c>
      <c r="I12">
        <f t="shared" si="0"/>
        <v>250000</v>
      </c>
      <c r="J12">
        <v>190000</v>
      </c>
      <c r="K12" s="7">
        <f t="shared" si="1"/>
        <v>0.76</v>
      </c>
      <c r="L12">
        <f t="shared" si="2"/>
        <v>250000</v>
      </c>
      <c r="M12" s="12">
        <f t="shared" si="3"/>
        <v>37500</v>
      </c>
      <c r="N12" s="12">
        <f t="shared" si="4"/>
        <v>22500</v>
      </c>
      <c r="O12" s="12">
        <f t="shared" si="5"/>
        <v>0</v>
      </c>
      <c r="T12" s="12">
        <f t="shared" si="6"/>
        <v>0</v>
      </c>
      <c r="W12" s="12">
        <f t="shared" si="7"/>
        <v>0</v>
      </c>
      <c r="Y12" s="12">
        <f t="shared" si="8"/>
        <v>0</v>
      </c>
      <c r="AC12" s="12">
        <f>SUM(L12,M12,N12,O12,P12,R12)</f>
        <v>310000</v>
      </c>
      <c r="AD12" s="12">
        <f t="shared" si="10"/>
        <v>0</v>
      </c>
      <c r="AE12" s="12">
        <f t="shared" si="11"/>
        <v>310000</v>
      </c>
      <c r="AF12" s="12">
        <f t="shared" si="12"/>
        <v>0</v>
      </c>
      <c r="AG12" s="12">
        <f t="shared" si="13"/>
        <v>0</v>
      </c>
    </row>
  </sheetData>
  <mergeCells count="26">
    <mergeCell ref="S2:T2"/>
    <mergeCell ref="AC1:AC3"/>
    <mergeCell ref="Q2:R2"/>
    <mergeCell ref="AA2:AB2"/>
    <mergeCell ref="AE1:AE3"/>
    <mergeCell ref="AG1:AG3"/>
    <mergeCell ref="L2:L3"/>
    <mergeCell ref="M2:M3"/>
    <mergeCell ref="N2:N3"/>
    <mergeCell ref="O2:O3"/>
    <mergeCell ref="P2:P3"/>
    <mergeCell ref="Z2:Z3"/>
    <mergeCell ref="AF1:AF3"/>
    <mergeCell ref="K1:K3"/>
    <mergeCell ref="J1:J3"/>
    <mergeCell ref="I1:I3"/>
    <mergeCell ref="C1:C3"/>
    <mergeCell ref="D1:D3"/>
    <mergeCell ref="E1:E3"/>
    <mergeCell ref="F1:F3"/>
    <mergeCell ref="G1:G3"/>
    <mergeCell ref="H1:H3"/>
    <mergeCell ref="L1:R1"/>
    <mergeCell ref="U2:W2"/>
    <mergeCell ref="S1:AB1"/>
    <mergeCell ref="X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Nidarsha 20240400</dc:creator>
  <cp:lastModifiedBy>Nidarsha 20240400</cp:lastModifiedBy>
  <dcterms:created xsi:type="dcterms:W3CDTF">2026-03-30T07:18:51Z</dcterms:created>
  <dcterms:modified xsi:type="dcterms:W3CDTF">2026-03-30T09:12:19Z</dcterms:modified>
</cp:coreProperties>
</file>